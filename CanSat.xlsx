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nSat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<sst xmlns="http://schemas.openxmlformats.org/spreadsheetml/2006/main" count="154" uniqueCount="129">
  <si>
    <t xml:space="preserve">Id</t>
  </si>
  <si>
    <t xml:space="preserve">Designator</t>
  </si>
  <si>
    <t xml:space="preserve">Footprint</t>
  </si>
  <si>
    <t xml:space="preserve">Quantity</t>
  </si>
  <si>
    <t xml:space="preserve">Designation</t>
  </si>
  <si>
    <t xml:space="preserve">Part #</t>
  </si>
  <si>
    <t xml:space="preserve">R4,R7,R3,R8,R9,R6,R5</t>
  </si>
  <si>
    <t xml:space="preserve">R_0805_2012Metric</t>
  </si>
  <si>
    <t xml:space="preserve">AC0805FR-0727RL </t>
  </si>
  <si>
    <t xml:space="preserve">J8,J9,J4</t>
  </si>
  <si>
    <t xml:space="preserve">PinHeader_1x02_P1.00mm_Vertical</t>
  </si>
  <si>
    <t xml:space="preserve">Conn_01x02_Pin</t>
  </si>
  <si>
    <t xml:space="preserve">L1</t>
  </si>
  <si>
    <t xml:space="preserve">AOTAB201610S3R3101T</t>
  </si>
  <si>
    <t xml:space="preserve">3.3u</t>
  </si>
  <si>
    <t xml:space="preserve">ISC1210ER3R3K </t>
  </si>
  <si>
    <t xml:space="preserve">D2</t>
  </si>
  <si>
    <t xml:space="preserve">LED_0402_1005Metric</t>
  </si>
  <si>
    <t xml:space="preserve">RED</t>
  </si>
  <si>
    <t xml:space="preserve">IN-S42DS5G </t>
  </si>
  <si>
    <t xml:space="preserve">U5</t>
  </si>
  <si>
    <t xml:space="preserve">RP2350-QFN-60-1EP_7x7_P0.4mm_EP3.4x3.4mm_ThermalVias</t>
  </si>
  <si>
    <t xml:space="preserve">RP2350_60QFN</t>
  </si>
  <si>
    <t xml:space="preserve">SC1509(13)-A4 </t>
  </si>
  <si>
    <t xml:space="preserve">C16,C9,C8,C11</t>
  </si>
  <si>
    <t xml:space="preserve">C_0402_1005Metric</t>
  </si>
  <si>
    <t xml:space="preserve">4.7uF</t>
  </si>
  <si>
    <t xml:space="preserve">0402ZD475KAT2A </t>
  </si>
  <si>
    <t xml:space="preserve">C20,C3,C4,C10,C22,C12,C7,C1,C5,C6,C2</t>
  </si>
  <si>
    <t xml:space="preserve">100nF</t>
  </si>
  <si>
    <t xml:space="preserve">0402ZC104KAT4A </t>
  </si>
  <si>
    <t xml:space="preserve">C24,C23</t>
  </si>
  <si>
    <t xml:space="preserve">15pF</t>
  </si>
  <si>
    <t xml:space="preserve">C0402C150F8HACTU </t>
  </si>
  <si>
    <t xml:space="preserve">C30,C15,C17,C32,C27,C28</t>
  </si>
  <si>
    <t xml:space="preserve">CP_EIA-2012-15_AVX-P</t>
  </si>
  <si>
    <t xml:space="preserve">KAF21BR71H104JM </t>
  </si>
  <si>
    <t xml:space="preserve">BZ1</t>
  </si>
  <si>
    <t xml:space="preserve">CMT-4023S</t>
  </si>
  <si>
    <t xml:space="preserve">Buzzer</t>
  </si>
  <si>
    <t xml:space="preserve">CMT-4023S-SMT-TR </t>
  </si>
  <si>
    <t xml:space="preserve">J1</t>
  </si>
  <si>
    <t xml:space="preserve">USB_C_Receptacle_Amphenol_12401610E4-2A</t>
  </si>
  <si>
    <t xml:space="preserve">USB_C_Receptacle</t>
  </si>
  <si>
    <t xml:space="preserve">12401610E4#2A</t>
  </si>
  <si>
    <t xml:space="preserve">C31</t>
  </si>
  <si>
    <t xml:space="preserve">22u</t>
  </si>
  <si>
    <t xml:space="preserve">CL21A226MQQNNNE </t>
  </si>
  <si>
    <t xml:space="preserve">SW2,SW1,SW3</t>
  </si>
  <si>
    <t xml:space="preserve">SW_Push_1P1T_NO_Vertical_Wuerth_434133025816</t>
  </si>
  <si>
    <t xml:space="preserve">SW_Push</t>
  </si>
  <si>
    <t xml:space="preserve">IC1</t>
  </si>
  <si>
    <t xml:space="preserve">SON127P600X500X80-9N-D</t>
  </si>
  <si>
    <t xml:space="preserve">W25Q128JVPIQ</t>
  </si>
  <si>
    <t xml:space="preserve">C21,C13</t>
  </si>
  <si>
    <t xml:space="preserve">1uF</t>
  </si>
  <si>
    <t xml:space="preserve">0805YC105KAT2A </t>
  </si>
  <si>
    <t xml:space="preserve">R12,R1,R21,R23,R22</t>
  </si>
  <si>
    <t xml:space="preserve">10K</t>
  </si>
  <si>
    <t xml:space="preserve">AC0805DR-0710KL </t>
  </si>
  <si>
    <t xml:space="preserve">D1</t>
  </si>
  <si>
    <t xml:space="preserve">MMBT2907AM3T5G</t>
  </si>
  <si>
    <t xml:space="preserve">ESD7L5.0DT5G</t>
  </si>
  <si>
    <t xml:space="preserve">J7</t>
  </si>
  <si>
    <t xml:space="preserve">PinHeader_1x03_P1.00mm_Vertical</t>
  </si>
  <si>
    <t xml:space="preserve">Conn_01x03_Pin</t>
  </si>
  <si>
    <t xml:space="preserve">R11,R10</t>
  </si>
  <si>
    <t xml:space="preserve">5.1K</t>
  </si>
  <si>
    <t xml:space="preserve">RC0805FR-075K1L </t>
  </si>
  <si>
    <t xml:space="preserve">J10</t>
  </si>
  <si>
    <t xml:space="preserve">PinHeader_1x04_P1.00mm_Vertical</t>
  </si>
  <si>
    <t xml:space="preserve">Conn_01x04_Pin</t>
  </si>
  <si>
    <t xml:space="preserve">R18</t>
  </si>
  <si>
    <t xml:space="preserve">RC0805FR-07100RL </t>
  </si>
  <si>
    <t xml:space="preserve">J2</t>
  </si>
  <si>
    <t xml:space="preserve">SMA_Amphenol_901-144_Vertical</t>
  </si>
  <si>
    <t xml:space="preserve">Conn_Coaxial</t>
  </si>
  <si>
    <t xml:space="preserve">R17</t>
  </si>
  <si>
    <t xml:space="preserve">R_0402_1005Metric</t>
  </si>
  <si>
    <t xml:space="preserve">RCA040210K0JNED </t>
  </si>
  <si>
    <t xml:space="preserve">R20</t>
  </si>
  <si>
    <t xml:space="preserve">SFR01MZPJ330 </t>
  </si>
  <si>
    <t xml:space="preserve">U3</t>
  </si>
  <si>
    <t xml:space="preserve">PinHeader_1x05_P1.00mm_Vertical</t>
  </si>
  <si>
    <t xml:space="preserve">Waveshare23721</t>
  </si>
  <si>
    <t xml:space="preserve">C18,C19</t>
  </si>
  <si>
    <t xml:space="preserve">2.2nF</t>
  </si>
  <si>
    <t xml:space="preserve">08055C222M4T2A </t>
  </si>
  <si>
    <t xml:space="preserve">U8</t>
  </si>
  <si>
    <t xml:space="preserve">Bosch_LGA-8_2x2.5mm_P0.65mm_ClockwisePinNumbering</t>
  </si>
  <si>
    <t xml:space="preserve">BMP280</t>
  </si>
  <si>
    <t xml:space="preserve">Y1</t>
  </si>
  <si>
    <t xml:space="preserve">ABM8272T3</t>
  </si>
  <si>
    <t xml:space="preserve">ABM8-272-T3 </t>
  </si>
  <si>
    <t xml:space="preserve">C29</t>
  </si>
  <si>
    <t xml:space="preserve">2.2uF</t>
  </si>
  <si>
    <t xml:space="preserve">0805X225M100CT </t>
  </si>
  <si>
    <t xml:space="preserve">U9</t>
  </si>
  <si>
    <t xml:space="preserve">PSON50P200X300X50-9N</t>
  </si>
  <si>
    <t xml:space="preserve">APS6404L-3SQR-ZR</t>
  </si>
  <si>
    <t xml:space="preserve">J6</t>
  </si>
  <si>
    <t xml:space="preserve">PinHeader_2x03_P1.00mm_Vertical</t>
  </si>
  <si>
    <t xml:space="preserve">Conn_01x06_Pin</t>
  </si>
  <si>
    <t xml:space="preserve">R14,R13</t>
  </si>
  <si>
    <t xml:space="preserve">1K</t>
  </si>
  <si>
    <t xml:space="preserve">1623131-1 </t>
  </si>
  <si>
    <t xml:space="preserve">R15</t>
  </si>
  <si>
    <t xml:space="preserve">RC0805JR-13220RL </t>
  </si>
  <si>
    <t xml:space="preserve">R16</t>
  </si>
  <si>
    <t xml:space="preserve">DNC</t>
  </si>
  <si>
    <t xml:space="preserve">J5</t>
  </si>
  <si>
    <t xml:space="preserve">TerminalBlock_bornier-2_P5.08mm</t>
  </si>
  <si>
    <t xml:space="preserve">Screw_Terminal_01x02</t>
  </si>
  <si>
    <t xml:space="preserve">J3</t>
  </si>
  <si>
    <t xml:space="preserve">JST_SH_BM06B-SRSS-TB_1x06-1MP_P1.00mm_Vertical</t>
  </si>
  <si>
    <t xml:space="preserve">Conn_01x06_Socket</t>
  </si>
  <si>
    <t xml:space="preserve">BM06B-SRSS-TB(LF)(SN) </t>
  </si>
  <si>
    <t xml:space="preserve">U4</t>
  </si>
  <si>
    <t xml:space="preserve">HOPERF_RFM9XW_SMD</t>
  </si>
  <si>
    <t xml:space="preserve">RFM98W-433S2</t>
  </si>
  <si>
    <t xml:space="preserve">D3</t>
  </si>
  <si>
    <t xml:space="preserve">D_SOD-123</t>
  </si>
  <si>
    <t xml:space="preserve">MBR0530</t>
  </si>
  <si>
    <t xml:space="preserve">MBR0530T1G </t>
  </si>
  <si>
    <t xml:space="preserve">U1</t>
  </si>
  <si>
    <t xml:space="preserve">InvenSense_QFN-24_4x4mm_P0.5mm</t>
  </si>
  <si>
    <t xml:space="preserve">MPU-6050</t>
  </si>
  <si>
    <t xml:space="preserve">R19</t>
  </si>
  <si>
    <t xml:space="preserve">MCS04020C1001FE000 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</si>
</sst>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4"/>
  <sheetViews>
    <sheetView showFormulas="false" showGridLines="true" showRowColHeaders="true" showZeros="true" rightToLeft="false" tabSelected="true" showOutlineSymbols="true" defaultGridColor="true" view="normal" topLeftCell="A13" colorId="64" zoomScale="110" zoomScaleNormal="110" zoomScalePageLayoutView="100" workbookViewId="0">
      <selection pane="topLeft" activeCell="A41" activeCellId="0" sqref="A4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3.1"/>
    <col collapsed="false" customWidth="true" hidden="false" outlineLevel="0" max="2" min="2" style="0" width="35.51"/>
    <col collapsed="false" customWidth="true" hidden="false" outlineLevel="0" max="3" min="3" style="0" width="54.16"/>
    <col collapsed="false" customWidth="true" hidden="false" outlineLevel="0" max="4" min="4" style="0" width="8.39"/>
    <col collapsed="false" customWidth="true" hidden="false" outlineLevel="0" max="5" min="5" style="0" width="20.35"/>
    <col collapsed="false" customWidth="true" hidden="false" outlineLevel="0" max="6" min="6" style="0" width="14.23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 customFormat="false" ht="23.85" hidden="false" customHeight="false" outlineLevel="0" collapsed="false">
      <c r="A2" s="0" t="n">
        <v>1</v>
      </c>
      <c r="B2" s="0" t="s">
        <v>6</v>
      </c>
      <c r="C2" s="0" t="s">
        <v>7</v>
      </c>
      <c r="D2" s="0" t="n">
        <v>7</v>
      </c>
      <c r="E2" s="0" t="n">
        <v>27</v>
      </c>
      <c r="F2" s="1" t="s">
        <v>8</v>
      </c>
      <c r="G2" s="1" t="n">
        <v>0.039</v>
      </c>
      <c r="H2" s="0" t="n">
        <f aca="false">D2*G2</f>
        <v>0.273</v>
      </c>
    </row>
    <row r="3" customFormat="false" ht="12.8" hidden="false" customHeight="false" outlineLevel="0" collapsed="false">
      <c r="A3" s="0" t="n">
        <v>2</v>
      </c>
      <c r="B3" s="0" t="s">
        <v>9</v>
      </c>
      <c r="C3" s="0" t="s">
        <v>10</v>
      </c>
      <c r="D3" s="0" t="n">
        <v>3</v>
      </c>
      <c r="E3" s="0" t="s">
        <v>11</v>
      </c>
      <c r="H3" s="0" t="n">
        <f aca="false">D3*G3</f>
        <v>0</v>
      </c>
    </row>
    <row r="4" customFormat="false" ht="12.8" hidden="false" customHeight="false" outlineLevel="0" collapsed="false">
      <c r="A4" s="0" t="n">
        <v>3</v>
      </c>
      <c r="B4" s="0" t="s">
        <v>12</v>
      </c>
      <c r="C4" s="0" t="s">
        <v>13</v>
      </c>
      <c r="D4" s="0" t="n">
        <v>1</v>
      </c>
      <c r="E4" s="0" t="s">
        <v>14</v>
      </c>
      <c r="F4" s="1" t="s">
        <v>15</v>
      </c>
      <c r="G4" s="0" t="n">
        <v>2.4</v>
      </c>
      <c r="H4" s="0" t="n">
        <f aca="false">D4*G4</f>
        <v>2.4</v>
      </c>
    </row>
    <row r="5" customFormat="false" ht="12.8" hidden="false" customHeight="false" outlineLevel="0" collapsed="false">
      <c r="A5" s="0" t="n">
        <v>4</v>
      </c>
      <c r="B5" s="0" t="s">
        <v>16</v>
      </c>
      <c r="C5" s="0" t="s">
        <v>17</v>
      </c>
      <c r="D5" s="0" t="n">
        <v>1</v>
      </c>
      <c r="E5" s="0" t="s">
        <v>18</v>
      </c>
      <c r="F5" s="1" t="s">
        <v>19</v>
      </c>
      <c r="G5" s="0" t="n">
        <v>1.55</v>
      </c>
      <c r="H5" s="0" t="n">
        <f aca="false">D5*G5</f>
        <v>1.55</v>
      </c>
    </row>
    <row r="6" customFormat="false" ht="12.8" hidden="false" customHeight="false" outlineLevel="0" collapsed="false">
      <c r="A6" s="0" t="n">
        <v>5</v>
      </c>
      <c r="B6" s="0" t="s">
        <v>20</v>
      </c>
      <c r="C6" s="0" t="s">
        <v>21</v>
      </c>
      <c r="D6" s="0" t="n">
        <v>1</v>
      </c>
      <c r="E6" s="0" t="s">
        <v>22</v>
      </c>
      <c r="F6" s="1" t="s">
        <v>23</v>
      </c>
      <c r="G6" s="0" t="n">
        <v>2.97</v>
      </c>
      <c r="H6" s="0" t="n">
        <f aca="false">D6*G6</f>
        <v>2.97</v>
      </c>
    </row>
    <row r="7" customFormat="false" ht="23.85" hidden="false" customHeight="false" outlineLevel="0" collapsed="false">
      <c r="A7" s="0" t="n">
        <v>6</v>
      </c>
      <c r="B7" s="0" t="s">
        <v>24</v>
      </c>
      <c r="C7" s="0" t="s">
        <v>25</v>
      </c>
      <c r="D7" s="0" t="n">
        <v>4</v>
      </c>
      <c r="E7" s="0" t="s">
        <v>26</v>
      </c>
      <c r="F7" s="1" t="s">
        <v>27</v>
      </c>
      <c r="G7" s="0" t="n">
        <v>0.593</v>
      </c>
      <c r="H7" s="0" t="n">
        <f aca="false">D7*G7</f>
        <v>2.372</v>
      </c>
    </row>
    <row r="8" customFormat="false" ht="23.85" hidden="false" customHeight="false" outlineLevel="0" collapsed="false">
      <c r="A8" s="0" t="n">
        <v>7</v>
      </c>
      <c r="B8" s="0" t="s">
        <v>28</v>
      </c>
      <c r="C8" s="0" t="s">
        <v>25</v>
      </c>
      <c r="D8" s="0" t="n">
        <v>11</v>
      </c>
      <c r="E8" s="0" t="s">
        <v>29</v>
      </c>
      <c r="F8" s="1" t="s">
        <v>30</v>
      </c>
      <c r="G8" s="0" t="n">
        <v>0.12</v>
      </c>
      <c r="H8" s="0" t="n">
        <f aca="false">D8*G8</f>
        <v>1.32</v>
      </c>
    </row>
    <row r="9" customFormat="false" ht="23.85" hidden="false" customHeight="false" outlineLevel="0" collapsed="false">
      <c r="A9" s="0" t="n">
        <v>8</v>
      </c>
      <c r="B9" s="0" t="s">
        <v>31</v>
      </c>
      <c r="C9" s="0" t="s">
        <v>25</v>
      </c>
      <c r="D9" s="0" t="n">
        <v>2</v>
      </c>
      <c r="E9" s="0" t="s">
        <v>32</v>
      </c>
      <c r="F9" s="1" t="s">
        <v>33</v>
      </c>
      <c r="G9" s="0" t="n">
        <v>0.628</v>
      </c>
      <c r="H9" s="0" t="n">
        <f aca="false">D9*G9</f>
        <v>1.256</v>
      </c>
    </row>
    <row r="10" customFormat="false" ht="23.85" hidden="false" customHeight="false" outlineLevel="0" collapsed="false">
      <c r="A10" s="0" t="n">
        <v>9</v>
      </c>
      <c r="B10" s="0" t="s">
        <v>34</v>
      </c>
      <c r="C10" s="0" t="s">
        <v>35</v>
      </c>
      <c r="D10" s="0" t="n">
        <v>6</v>
      </c>
      <c r="E10" s="0" t="s">
        <v>29</v>
      </c>
      <c r="F10" s="1" t="s">
        <v>36</v>
      </c>
      <c r="G10" s="0" t="n">
        <v>0.335</v>
      </c>
      <c r="H10" s="0" t="n">
        <f aca="false">D10*G10</f>
        <v>2.01</v>
      </c>
    </row>
    <row r="11" customFormat="false" ht="23.85" hidden="false" customHeight="false" outlineLevel="0" collapsed="false">
      <c r="A11" s="0" t="n">
        <v>10</v>
      </c>
      <c r="B11" s="0" t="s">
        <v>37</v>
      </c>
      <c r="C11" s="0" t="s">
        <v>38</v>
      </c>
      <c r="D11" s="0" t="n">
        <v>1</v>
      </c>
      <c r="E11" s="0" t="s">
        <v>39</v>
      </c>
      <c r="F11" s="1" t="s">
        <v>40</v>
      </c>
      <c r="G11" s="0" t="n">
        <v>11.35</v>
      </c>
      <c r="H11" s="0" t="n">
        <f aca="false">D11*G11</f>
        <v>11.35</v>
      </c>
    </row>
    <row r="12" customFormat="false" ht="12.8" hidden="false" customHeight="false" outlineLevel="0" collapsed="false">
      <c r="A12" s="0" t="n">
        <v>11</v>
      </c>
      <c r="B12" s="0" t="s">
        <v>41</v>
      </c>
      <c r="C12" s="0" t="s">
        <v>42</v>
      </c>
      <c r="D12" s="0" t="n">
        <v>1</v>
      </c>
      <c r="E12" s="0" t="s">
        <v>43</v>
      </c>
      <c r="F12" s="1" t="s">
        <v>44</v>
      </c>
      <c r="G12" s="0" t="n">
        <v>5.33</v>
      </c>
      <c r="H12" s="0" t="n">
        <f aca="false">D12*G12</f>
        <v>5.33</v>
      </c>
    </row>
    <row r="13" customFormat="false" ht="23.85" hidden="false" customHeight="false" outlineLevel="0" collapsed="false">
      <c r="A13" s="0" t="n">
        <v>12</v>
      </c>
      <c r="B13" s="0" t="s">
        <v>45</v>
      </c>
      <c r="C13" s="0" t="s">
        <v>35</v>
      </c>
      <c r="D13" s="0" t="n">
        <v>1</v>
      </c>
      <c r="E13" s="0" t="s">
        <v>46</v>
      </c>
      <c r="F13" s="1" t="s">
        <v>47</v>
      </c>
      <c r="G13" s="0" t="n">
        <v>0.482</v>
      </c>
      <c r="H13" s="0" t="n">
        <f aca="false">D13*G13</f>
        <v>0.482</v>
      </c>
    </row>
    <row r="14" customFormat="false" ht="12.8" hidden="false" customHeight="false" outlineLevel="0" collapsed="false">
      <c r="A14" s="0" t="n">
        <v>13</v>
      </c>
      <c r="B14" s="0" t="s">
        <v>48</v>
      </c>
      <c r="C14" s="0" t="s">
        <v>49</v>
      </c>
      <c r="D14" s="0" t="n">
        <v>3</v>
      </c>
      <c r="E14" s="0" t="s">
        <v>50</v>
      </c>
      <c r="F14" s="0" t="n">
        <v>434133025816</v>
      </c>
      <c r="G14" s="0" t="n">
        <v>2.03</v>
      </c>
      <c r="H14" s="0" t="n">
        <f aca="false">D14*G14</f>
        <v>6.09</v>
      </c>
    </row>
    <row r="15" customFormat="false" ht="12.8" hidden="false" customHeight="false" outlineLevel="0" collapsed="false">
      <c r="A15" s="0" t="n">
        <v>14</v>
      </c>
      <c r="B15" s="0" t="s">
        <v>51</v>
      </c>
      <c r="C15" s="0" t="s">
        <v>52</v>
      </c>
      <c r="D15" s="0" t="n">
        <v>1</v>
      </c>
      <c r="E15" s="0" t="s">
        <v>53</v>
      </c>
      <c r="F15" s="0" t="s">
        <v>53</v>
      </c>
      <c r="G15" s="0" t="n">
        <v>8.51</v>
      </c>
      <c r="H15" s="0" t="n">
        <f aca="false">D15*G15</f>
        <v>8.51</v>
      </c>
    </row>
    <row r="16" customFormat="false" ht="23.85" hidden="false" customHeight="false" outlineLevel="0" collapsed="false">
      <c r="A16" s="0" t="n">
        <v>15</v>
      </c>
      <c r="B16" s="0" t="s">
        <v>54</v>
      </c>
      <c r="C16" s="0" t="s">
        <v>35</v>
      </c>
      <c r="D16" s="0" t="n">
        <v>2</v>
      </c>
      <c r="E16" s="0" t="s">
        <v>55</v>
      </c>
      <c r="F16" s="1" t="s">
        <v>56</v>
      </c>
      <c r="G16" s="0" t="n">
        <v>0.37</v>
      </c>
      <c r="H16" s="0" t="n">
        <f aca="false">D16*G16</f>
        <v>0.74</v>
      </c>
    </row>
    <row r="17" customFormat="false" ht="23.85" hidden="false" customHeight="false" outlineLevel="0" collapsed="false">
      <c r="A17" s="0" t="n">
        <v>16</v>
      </c>
      <c r="B17" s="0" t="s">
        <v>57</v>
      </c>
      <c r="C17" s="0" t="s">
        <v>7</v>
      </c>
      <c r="D17" s="0" t="n">
        <v>5</v>
      </c>
      <c r="E17" s="0" t="s">
        <v>58</v>
      </c>
      <c r="F17" s="1" t="s">
        <v>59</v>
      </c>
      <c r="G17" s="0" t="n">
        <v>0.112</v>
      </c>
      <c r="H17" s="0" t="n">
        <f aca="false">D17*G17</f>
        <v>0.56</v>
      </c>
    </row>
    <row r="18" customFormat="false" ht="12.8" hidden="false" customHeight="false" outlineLevel="0" collapsed="false">
      <c r="A18" s="0" t="n">
        <v>17</v>
      </c>
      <c r="B18" s="0" t="s">
        <v>60</v>
      </c>
      <c r="C18" s="0" t="s">
        <v>61</v>
      </c>
      <c r="D18" s="0" t="n">
        <v>1</v>
      </c>
      <c r="E18" s="0" t="s">
        <v>62</v>
      </c>
      <c r="F18" s="0" t="s">
        <v>62</v>
      </c>
      <c r="G18" s="0" t="n">
        <v>4.21</v>
      </c>
      <c r="H18" s="0" t="n">
        <f aca="false">D18*G18</f>
        <v>4.21</v>
      </c>
    </row>
    <row r="19" customFormat="false" ht="12.8" hidden="false" customHeight="false" outlineLevel="0" collapsed="false">
      <c r="A19" s="0" t="n">
        <v>18</v>
      </c>
      <c r="B19" s="0" t="s">
        <v>63</v>
      </c>
      <c r="C19" s="0" t="s">
        <v>64</v>
      </c>
      <c r="D19" s="0" t="n">
        <v>1</v>
      </c>
      <c r="E19" s="0" t="s">
        <v>65</v>
      </c>
      <c r="H19" s="0" t="n">
        <f aca="false">D19*G19</f>
        <v>0</v>
      </c>
    </row>
    <row r="20" customFormat="false" ht="23.85" hidden="false" customHeight="false" outlineLevel="0" collapsed="false">
      <c r="A20" s="0" t="n">
        <v>19</v>
      </c>
      <c r="B20" s="0" t="s">
        <v>66</v>
      </c>
      <c r="C20" s="0" t="s">
        <v>7</v>
      </c>
      <c r="D20" s="0" t="n">
        <v>2</v>
      </c>
      <c r="E20" s="0" t="s">
        <v>67</v>
      </c>
      <c r="F20" s="1" t="s">
        <v>68</v>
      </c>
      <c r="G20" s="0" t="n">
        <v>0.37</v>
      </c>
      <c r="H20" s="0" t="n">
        <f aca="false">D20*G20</f>
        <v>0.74</v>
      </c>
    </row>
    <row r="21" customFormat="false" ht="12.8" hidden="false" customHeight="false" outlineLevel="0" collapsed="false">
      <c r="A21" s="0" t="n">
        <v>20</v>
      </c>
      <c r="B21" s="0" t="s">
        <v>69</v>
      </c>
      <c r="C21" s="0" t="s">
        <v>70</v>
      </c>
      <c r="D21" s="0" t="n">
        <v>1</v>
      </c>
      <c r="E21" s="0" t="s">
        <v>71</v>
      </c>
      <c r="H21" s="0" t="n">
        <f aca="false">D21*G21</f>
        <v>0</v>
      </c>
    </row>
    <row r="22" customFormat="false" ht="23.85" hidden="false" customHeight="false" outlineLevel="0" collapsed="false">
      <c r="A22" s="0" t="n">
        <v>21</v>
      </c>
      <c r="B22" s="0" t="s">
        <v>72</v>
      </c>
      <c r="C22" s="0" t="s">
        <v>7</v>
      </c>
      <c r="D22" s="0" t="n">
        <v>1</v>
      </c>
      <c r="E22" s="0" t="n">
        <v>100</v>
      </c>
      <c r="F22" s="1" t="s">
        <v>73</v>
      </c>
      <c r="G22" s="0" t="n">
        <v>0.37</v>
      </c>
      <c r="H22" s="0" t="n">
        <f aca="false">D22*G22</f>
        <v>0.37</v>
      </c>
    </row>
    <row r="23" customFormat="false" ht="12.8" hidden="false" customHeight="false" outlineLevel="0" collapsed="false">
      <c r="A23" s="0" t="n">
        <v>22</v>
      </c>
      <c r="B23" s="0" t="s">
        <v>74</v>
      </c>
      <c r="C23" s="0" t="s">
        <v>75</v>
      </c>
      <c r="D23" s="0" t="n">
        <v>1</v>
      </c>
      <c r="E23" s="0" t="s">
        <v>76</v>
      </c>
      <c r="H23" s="0" t="n">
        <f aca="false">D23*G23</f>
        <v>0</v>
      </c>
    </row>
    <row r="24" customFormat="false" ht="23.85" hidden="false" customHeight="false" outlineLevel="0" collapsed="false">
      <c r="A24" s="0" t="n">
        <v>23</v>
      </c>
      <c r="B24" s="0" t="s">
        <v>77</v>
      </c>
      <c r="C24" s="0" t="s">
        <v>78</v>
      </c>
      <c r="D24" s="0" t="n">
        <v>1</v>
      </c>
      <c r="E24" s="0" t="s">
        <v>58</v>
      </c>
      <c r="F24" s="1" t="s">
        <v>79</v>
      </c>
      <c r="G24" s="0" t="n">
        <v>0.142</v>
      </c>
      <c r="H24" s="0" t="n">
        <f aca="false">D24*G24</f>
        <v>0.142</v>
      </c>
    </row>
    <row r="25" customFormat="false" ht="12.8" hidden="false" customHeight="false" outlineLevel="0" collapsed="false">
      <c r="A25" s="0" t="n">
        <v>24</v>
      </c>
      <c r="B25" s="0" t="s">
        <v>80</v>
      </c>
      <c r="C25" s="0" t="s">
        <v>78</v>
      </c>
      <c r="D25" s="0" t="n">
        <v>1</v>
      </c>
      <c r="E25" s="0" t="n">
        <v>33</v>
      </c>
      <c r="F25" s="1" t="s">
        <v>81</v>
      </c>
      <c r="G25" s="0" t="n">
        <v>0.555</v>
      </c>
      <c r="H25" s="0" t="n">
        <f aca="false">D25*G25</f>
        <v>0.555</v>
      </c>
    </row>
    <row r="26" customFormat="false" ht="12.8" hidden="false" customHeight="false" outlineLevel="0" collapsed="false">
      <c r="A26" s="0" t="n">
        <v>25</v>
      </c>
      <c r="B26" s="0" t="s">
        <v>82</v>
      </c>
      <c r="C26" s="0" t="s">
        <v>83</v>
      </c>
      <c r="D26" s="0" t="n">
        <v>1</v>
      </c>
      <c r="E26" s="0" t="s">
        <v>84</v>
      </c>
      <c r="H26" s="0" t="n">
        <f aca="false">D26*G26</f>
        <v>0</v>
      </c>
    </row>
    <row r="27" customFormat="false" ht="23.85" hidden="false" customHeight="false" outlineLevel="0" collapsed="false">
      <c r="A27" s="0" t="n">
        <v>26</v>
      </c>
      <c r="B27" s="0" t="s">
        <v>85</v>
      </c>
      <c r="C27" s="0" t="s">
        <v>35</v>
      </c>
      <c r="D27" s="0" t="n">
        <v>2</v>
      </c>
      <c r="E27" s="0" t="s">
        <v>86</v>
      </c>
      <c r="F27" s="1" t="s">
        <v>87</v>
      </c>
      <c r="G27" s="0" t="n">
        <v>0.778</v>
      </c>
      <c r="H27" s="0" t="n">
        <f aca="false">D27*G27</f>
        <v>1.556</v>
      </c>
    </row>
    <row r="28" customFormat="false" ht="12.8" hidden="false" customHeight="false" outlineLevel="0" collapsed="false">
      <c r="A28" s="0" t="n">
        <v>27</v>
      </c>
      <c r="B28" s="0" t="s">
        <v>88</v>
      </c>
      <c r="C28" s="0" t="s">
        <v>89</v>
      </c>
      <c r="D28" s="0" t="n">
        <v>1</v>
      </c>
      <c r="E28" s="0" t="s">
        <v>90</v>
      </c>
      <c r="F28" s="0" t="s">
        <v>90</v>
      </c>
      <c r="H28" s="0" t="n">
        <f aca="false">D28*G28</f>
        <v>0</v>
      </c>
    </row>
    <row r="29" customFormat="false" ht="12.8" hidden="false" customHeight="false" outlineLevel="0" collapsed="false">
      <c r="A29" s="0" t="n">
        <v>28</v>
      </c>
      <c r="B29" s="0" t="s">
        <v>91</v>
      </c>
      <c r="C29" s="0" t="s">
        <v>92</v>
      </c>
      <c r="D29" s="0" t="n">
        <v>1</v>
      </c>
      <c r="E29" s="0" t="s">
        <v>92</v>
      </c>
      <c r="F29" s="1" t="s">
        <v>93</v>
      </c>
      <c r="G29" s="0" t="n">
        <v>2</v>
      </c>
      <c r="H29" s="0" t="n">
        <f aca="false">D29*G29</f>
        <v>2</v>
      </c>
    </row>
    <row r="30" customFormat="false" ht="23.85" hidden="false" customHeight="false" outlineLevel="0" collapsed="false">
      <c r="A30" s="0" t="n">
        <v>29</v>
      </c>
      <c r="B30" s="0" t="s">
        <v>94</v>
      </c>
      <c r="C30" s="0" t="s">
        <v>35</v>
      </c>
      <c r="D30" s="0" t="n">
        <v>1</v>
      </c>
      <c r="E30" s="0" t="s">
        <v>95</v>
      </c>
      <c r="F30" s="1" t="s">
        <v>96</v>
      </c>
      <c r="G30" s="0" t="n">
        <v>0.512</v>
      </c>
      <c r="H30" s="0" t="n">
        <f aca="false">D30*G30</f>
        <v>0.512</v>
      </c>
    </row>
    <row r="31" customFormat="false" ht="12.8" hidden="false" customHeight="false" outlineLevel="0" collapsed="false">
      <c r="A31" s="0" t="n">
        <v>30</v>
      </c>
      <c r="B31" s="0" t="s">
        <v>97</v>
      </c>
      <c r="C31" s="0" t="s">
        <v>98</v>
      </c>
      <c r="D31" s="0" t="n">
        <v>1</v>
      </c>
      <c r="E31" s="0" t="s">
        <v>99</v>
      </c>
      <c r="F31" s="0" t="s">
        <v>99</v>
      </c>
      <c r="G31" s="0" t="n">
        <v>8.08</v>
      </c>
      <c r="H31" s="0" t="n">
        <f aca="false">D31*G31</f>
        <v>8.08</v>
      </c>
    </row>
    <row r="32" customFormat="false" ht="12.8" hidden="false" customHeight="false" outlineLevel="0" collapsed="false">
      <c r="A32" s="0" t="n">
        <v>31</v>
      </c>
      <c r="B32" s="0" t="s">
        <v>100</v>
      </c>
      <c r="C32" s="0" t="s">
        <v>101</v>
      </c>
      <c r="D32" s="0" t="n">
        <v>1</v>
      </c>
      <c r="E32" s="0" t="s">
        <v>102</v>
      </c>
      <c r="H32" s="0" t="n">
        <f aca="false">D32*G32</f>
        <v>0</v>
      </c>
    </row>
    <row r="33" customFormat="false" ht="12.8" hidden="false" customHeight="false" outlineLevel="0" collapsed="false">
      <c r="A33" s="0" t="n">
        <v>32</v>
      </c>
      <c r="B33" s="0" t="s">
        <v>103</v>
      </c>
      <c r="C33" s="0" t="s">
        <v>7</v>
      </c>
      <c r="D33" s="0" t="n">
        <v>2</v>
      </c>
      <c r="E33" s="0" t="s">
        <v>104</v>
      </c>
      <c r="F33" s="1" t="s">
        <v>105</v>
      </c>
      <c r="G33" s="0" t="n">
        <v>0.37</v>
      </c>
      <c r="H33" s="0" t="n">
        <f aca="false">D33*G33</f>
        <v>0.74</v>
      </c>
    </row>
    <row r="34" customFormat="false" ht="23.85" hidden="false" customHeight="false" outlineLevel="0" collapsed="false">
      <c r="A34" s="0" t="n">
        <v>33</v>
      </c>
      <c r="B34" s="0" t="s">
        <v>106</v>
      </c>
      <c r="C34" s="0" t="s">
        <v>7</v>
      </c>
      <c r="D34" s="0" t="n">
        <v>1</v>
      </c>
      <c r="E34" s="0" t="n">
        <v>220</v>
      </c>
      <c r="F34" s="1" t="s">
        <v>107</v>
      </c>
      <c r="G34" s="0" t="n">
        <v>0.026</v>
      </c>
      <c r="H34" s="0" t="n">
        <f aca="false">D34*G34</f>
        <v>0.026</v>
      </c>
    </row>
    <row r="35" customFormat="false" ht="12.8" hidden="false" customHeight="false" outlineLevel="0" collapsed="false">
      <c r="A35" s="0" t="n">
        <v>34</v>
      </c>
      <c r="B35" s="0" t="s">
        <v>108</v>
      </c>
      <c r="C35" s="0" t="s">
        <v>7</v>
      </c>
      <c r="D35" s="0" t="n">
        <v>1</v>
      </c>
      <c r="E35" s="0" t="s">
        <v>109</v>
      </c>
      <c r="H35" s="0" t="n">
        <f aca="false">D35*G35</f>
        <v>0</v>
      </c>
    </row>
    <row r="36" customFormat="false" ht="12.8" hidden="false" customHeight="false" outlineLevel="0" collapsed="false">
      <c r="A36" s="0" t="n">
        <v>35</v>
      </c>
      <c r="B36" s="0" t="s">
        <v>110</v>
      </c>
      <c r="C36" s="0" t="s">
        <v>111</v>
      </c>
      <c r="D36" s="0" t="n">
        <v>1</v>
      </c>
      <c r="E36" s="0" t="s">
        <v>112</v>
      </c>
      <c r="H36" s="0" t="n">
        <f aca="false">D36*G36</f>
        <v>0</v>
      </c>
    </row>
    <row r="37" customFormat="false" ht="23.85" hidden="false" customHeight="false" outlineLevel="0" collapsed="false">
      <c r="A37" s="0" t="n">
        <v>36</v>
      </c>
      <c r="B37" s="0" t="s">
        <v>113</v>
      </c>
      <c r="C37" s="0" t="s">
        <v>114</v>
      </c>
      <c r="D37" s="0" t="n">
        <v>1</v>
      </c>
      <c r="E37" s="0" t="s">
        <v>115</v>
      </c>
      <c r="F37" s="1" t="s">
        <v>116</v>
      </c>
      <c r="G37" s="0" t="n">
        <v>3.33</v>
      </c>
      <c r="H37" s="0" t="n">
        <f aca="false">D37*G37</f>
        <v>3.33</v>
      </c>
    </row>
    <row r="38" customFormat="false" ht="12.8" hidden="false" customHeight="false" outlineLevel="0" collapsed="false">
      <c r="A38" s="0" t="n">
        <v>37</v>
      </c>
      <c r="B38" s="0" t="s">
        <v>117</v>
      </c>
      <c r="C38" s="0" t="s">
        <v>118</v>
      </c>
      <c r="D38" s="0" t="n">
        <v>1</v>
      </c>
      <c r="E38" s="0" t="s">
        <v>119</v>
      </c>
      <c r="F38" s="0" t="s">
        <v>119</v>
      </c>
      <c r="H38" s="0" t="n">
        <f aca="false">D38*G38</f>
        <v>0</v>
      </c>
    </row>
    <row r="39" customFormat="false" ht="12.8" hidden="false" customHeight="false" outlineLevel="0" collapsed="false">
      <c r="A39" s="0" t="n">
        <v>38</v>
      </c>
      <c r="B39" s="0" t="s">
        <v>120</v>
      </c>
      <c r="C39" s="0" t="s">
        <v>121</v>
      </c>
      <c r="D39" s="0" t="n">
        <v>1</v>
      </c>
      <c r="E39" s="0" t="s">
        <v>122</v>
      </c>
      <c r="F39" s="1" t="s">
        <v>123</v>
      </c>
      <c r="G39" s="0" t="n">
        <v>0.516</v>
      </c>
      <c r="H39" s="0" t="n">
        <f aca="false">D39*G39</f>
        <v>0.516</v>
      </c>
    </row>
    <row r="40" customFormat="false" ht="12.8" hidden="false" customHeight="false" outlineLevel="0" collapsed="false">
      <c r="A40" s="0" t="n">
        <v>39</v>
      </c>
      <c r="B40" s="0" t="s">
        <v>124</v>
      </c>
      <c r="C40" s="0" t="s">
        <v>125</v>
      </c>
      <c r="D40" s="0" t="n">
        <v>1</v>
      </c>
      <c r="E40" s="0" t="s">
        <v>126</v>
      </c>
      <c r="F40" s="0" t="s">
        <v>126</v>
      </c>
      <c r="H40" s="0" t="n">
        <f aca="false">D40*G40</f>
        <v>0</v>
      </c>
    </row>
    <row r="41" customFormat="false" ht="23.85" hidden="false" customHeight="false" outlineLevel="0" collapsed="false">
      <c r="A41" s="0" t="n">
        <v>40</v>
      </c>
      <c r="B41" s="0" t="s">
        <v>127</v>
      </c>
      <c r="C41" s="0" t="s">
        <v>78</v>
      </c>
      <c r="D41" s="0" t="n">
        <v>1</v>
      </c>
      <c r="E41" s="0" t="s">
        <v>104</v>
      </c>
      <c r="F41" s="1" t="s">
        <v>128</v>
      </c>
      <c r="G41" s="0" t="n">
        <v>0.086</v>
      </c>
      <c r="H41" s="0" t="n">
        <f aca="false">D41*G41</f>
        <v>0.086</v>
      </c>
    </row>
    <row r="42" customFormat="false" ht="12.8" hidden="false" customHeight="false" outlineLevel="0" collapsed="false">
      <c r="H42" s="0" t="n">
        <f aca="false">SUM(H2:H41)</f>
        <v>70.076</v>
      </c>
    </row>
    <row r="43" customFormat="false" ht="12.8" hidden="false" customHeight="false" outlineLevel="0" collapsed="false">
      <c r="G43" s="0" t="s">
        <v>3</v>
      </c>
      <c r="H43" s="0" t="n">
        <v>2</v>
      </c>
    </row>
    <row r="44" customFormat="false" ht="12.8" hidden="false" customHeight="false" outlineLevel="0" collapsed="false">
      <c r="H44" s="0" t="n">
        <f aca="false">H42*H43</f>
        <v>140.152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482</TotalTime>
  <Application>LibreOffice/25.8.4.2$Linux_X86_64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2026-03-12T21:50:28Z</dcterms:modified>
  <cp:revision>4</cp:revision>
  <dc:subject/>
  <dc:title/>
</cp:coreProperties>
</file>